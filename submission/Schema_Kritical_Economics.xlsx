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4bcf9bb69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onomics" sheetId="1" r:id="R2bdba18cf711446c"/>
    <x:sheet xmlns:r="http://schemas.openxmlformats.org/officeDocument/2006/relationships" name="Market" sheetId="2" r:id="R3eb93be6f49e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₹&quot;#,##0.00;(&quot;₹&quot;#,##0.00);&quot;—&quot;"/>
    <x:numFmt numFmtId="201" formatCode="0.0"/>
    <x:numFmt numFmtId="202" formatCode="0.0%"/>
    <x:numFmt numFmtId="203" formatCode="0.0000"/>
    <x:numFmt numFmtId="204" formatCode="#,##0"/>
    <x:numFmt numFmtId="205" formatCode="&quot;$&quot;0.00"/>
  </x:numFmts>
  <x:fonts count="7">
    <x:font>
      <x:sz val="11"/>
      <x:name val="Carlito"/>
    </x:font>
    <x:font>
      <x:sz val="11"/>
      <x:color rgb="FF21281F"/>
      <x:name val="Arial"/>
    </x:font>
    <x:font>
      <x:b/>
      <x:sz val="15"/>
      <x:color rgb="FF21281F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00FF"/>
      <x:name val="Arial"/>
    </x:font>
    <x:font>
      <x:i/>
      <x:sz val="11"/>
      <x:color rgb="FF66666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281F"/>
      </x:patternFill>
    </x:fill>
    <x:fill>
      <x:patternFill patternType="solid">
        <x:fgColor rgb="FFFFF1C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3" fillId="2" borderId="0" xfId="0" applyNumberFormat="1" applyFont="1" applyFill="1" applyBorder="1"/>
    <x:xf numFmtId="202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E251C"/>
      </x:font>
      <x:fill>
        <x:patternFill patternType="solid">
          <x:bgColor rgb="FFFADD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b09ba9e3e41ed" /><Relationship Type="http://schemas.openxmlformats.org/officeDocument/2006/relationships/theme" Target="/xl/theme/theme1.xml" Id="R296f23a0b7da41e4" /><Relationship Type="http://schemas.openxmlformats.org/officeDocument/2006/relationships/sharedStrings" Target="/xl/sharedStrings.xml" Id="R607fcfe9580b4a43" /><Relationship Type="http://schemas.openxmlformats.org/officeDocument/2006/relationships/worksheet" Target="/xl/worksheets/sheet1.xml" Id="R2bdba18cf711446c" /><Relationship Type="http://schemas.openxmlformats.org/officeDocument/2006/relationships/worksheet" Target="/xl/worksheets/sheet2.xml" Id="R3eb93be6f49e47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8" hidden="0" customWidth="1"/>
    <x:col min="4" max="4" width="18" hidden="0" customWidth="1"/>
    <x:col min="5" max="5" width="3" hidden="0" customWidth="1"/>
    <x:col min="6" max="6" width="33" hidden="0" customWidth="1"/>
    <x:col min="7" max="7" width="19" hidden="0" customWidth="1"/>
    <x:col min="8" max="8" width="7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1"/>
      <x:c r="B2" s="20" t="str">
        <x:v>Schema pricing and service economics</x:v>
      </x:c>
      <x:c r="C2" s="20"/>
      <x:c r="D2" s="20"/>
      <x:c r="E2" s="20"/>
      <x:c r="F2" s="20"/>
      <x:c r="G2" s="20"/>
      <x:c r="H2" s="20"/>
    </x:row>
    <x:row r="3" ht="22" customHeight="1">
      <x:c r="A3" s="1"/>
      <x:c r="B3" s="21" t="str">
        <x:v>Monthly INR model. Proposed usage and prices, not observed customer results.</x:v>
      </x:c>
      <x:c r="C3" s="21"/>
      <x:c r="D3" s="21"/>
      <x:c r="E3" s="21"/>
      <x:c r="F3" s="21"/>
      <x:c r="G3" s="21"/>
      <x:c r="H3" s="21"/>
    </x:row>
    <x:row r="4" ht="22" customHeight="1">
      <x:c r="A4" s="1"/>
      <x:c r="B4" s="22"/>
      <x:c r="C4" s="22"/>
      <x:c r="D4" s="22"/>
      <x:c r="E4" s="22"/>
      <x:c r="F4" s="22"/>
      <x:c r="G4" s="22"/>
      <x:c r="H4" s="22"/>
    </x:row>
    <x:row r="5" ht="22" customHeight="1">
      <x:c r="A5" s="1"/>
      <x:c r="B5" s="23" t="str">
        <x:v>Monthly result</x:v>
      </x:c>
      <x:c r="C5" s="23"/>
      <x:c r="D5" s="23"/>
      <x:c r="E5" s="22"/>
      <x:c r="F5" s="23" t="str">
        <x:v>Inputs and source basis</x:v>
      </x:c>
      <x:c r="G5" s="23"/>
      <x:c r="H5" s="23"/>
    </x:row>
    <x:row r="6" ht="22" customHeight="1">
      <x:c r="A6" s="1"/>
      <x:c r="B6" s="22" t="str">
        <x:v>Customer price</x:v>
      </x:c>
      <x:c r="C6" s="24" t="n">
        <x:f>G7</x:f>
        <x:v>149</x:v>
      </x:c>
      <x:c r="D6" s="22"/>
      <x:c r="E6" s="22"/>
      <x:c r="F6" s="22" t="str">
        <x:v>INR per USD</x:v>
      </x:c>
      <x:c r="G6" s="13" t="n">
        <x:v>90</x:v>
      </x:c>
      <x:c r="H6" s="22" t="str">
        <x:v>Planning assumption, not a current FX quote</x:v>
      </x:c>
    </x:row>
    <x:row r="7" ht="22" customHeight="1">
      <x:c r="A7" s="1"/>
      <x:c r="B7" s="22" t="str">
        <x:v>Revenue excluding assumed sales tax</x:v>
      </x:c>
      <x:c r="C7" s="24" t="n">
        <x:f>G7/(1+G8)</x:f>
        <x:v>126.27118644067798</x:v>
      </x:c>
      <x:c r="D7" s="22"/>
      <x:c r="E7" s="22"/>
      <x:c r="F7" s="22" t="str">
        <x:v>Price per paid user</x:v>
      </x:c>
      <x:c r="G7" s="13" t="n">
        <x:v>149</x:v>
      </x:c>
      <x:c r="H7" s="22" t="str">
        <x:v>Proposed India web subscription; annual discount deferred</x:v>
      </x:c>
    </x:row>
    <x:row r="8" ht="22" customHeight="1">
      <x:c r="A8" s="1"/>
      <x:c r="B8" s="22" t="str">
        <x:v>Payment processing cost</x:v>
      </x:c>
      <x:c r="C8" s="24" t="n">
        <x:f>G7*G9*(1+G10)</x:f>
        <x:v>3.5164</x:v>
      </x:c>
      <x:c r="D8" s="22"/>
      <x:c r="E8" s="22"/>
      <x:c r="F8" s="22" t="str">
        <x:v>Sales tax assumption</x:v>
      </x:c>
      <x:c r="G8" s="14" t="n">
        <x:v>0.18</x:v>
      </x:c>
      <x:c r="H8" s="22" t="str">
        <x:v>Illustrative assumption, verify actual treatment before launch</x:v>
      </x:c>
    </x:row>
    <x:row r="9" ht="22" customHeight="1">
      <x:c r="A9" s="1"/>
      <x:c r="B9" s="22" t="str">
        <x:v>Net subscription receipts</x:v>
      </x:c>
      <x:c r="C9" s="24" t="n">
        <x:f>C7-C8</x:f>
        <x:v>122.75478644067798</x:v>
      </x:c>
      <x:c r="D9" s="22"/>
      <x:c r="E9" s="22"/>
      <x:c r="F9" s="22" t="str">
        <x:v>Gateway fee</x:v>
      </x:c>
      <x:c r="G9" s="14" t="n">
        <x:v>0.02</x:v>
      </x:c>
      <x:c r="H9" s="22" t="str">
        <x:v>https://razorpay.com/pricing/ — standard rate, excludes promotions</x:v>
      </x:c>
    </x:row>
    <x:row r="10" ht="22" customHeight="1">
      <x:c r="A10" s="1"/>
      <x:c r="B10" s="22" t="str">
        <x:v>Paid variable service cost</x:v>
      </x:c>
      <x:c r="C10" s="24" t="n">
        <x:f>SUM(C36:C41)</x:f>
        <x:v>26.607</x:v>
      </x:c>
      <x:c r="D10" s="22"/>
      <x:c r="E10" s="22"/>
      <x:c r="F10" s="22" t="str">
        <x:v>Tax on gateway fee assumption</x:v>
      </x:c>
      <x:c r="G10" s="14" t="n">
        <x:v>0.18</x:v>
      </x:c>
      <x:c r="H10" s="22" t="str">
        <x:v>Illustrative fee-tax assumption</x:v>
      </x:c>
    </x:row>
    <x:row r="11" ht="22" customHeight="1">
      <x:c r="A11" s="1"/>
      <x:c r="B11" s="22" t="str">
        <x:v>Contribution before free users and fixed costs</x:v>
      </x:c>
      <x:c r="C11" s="24" t="n">
        <x:f>C9-C10</x:f>
        <x:v>96.14778644067798</x:v>
      </x:c>
      <x:c r="D11" s="22"/>
      <x:c r="E11" s="22"/>
      <x:c r="F11" s="22" t="str">
        <x:v>TinyFish USD per step</x:v>
      </x:c>
      <x:c r="G11" s="16" t="n">
        <x:v>0.016</x:v>
      </x:c>
      <x:c r="H11" s="22" t="str">
        <x:v>https://www.tinyfish.ai/pricing — checked 20 Oct 2026</x:v>
      </x:c>
    </x:row>
    <x:row r="12" ht="22" customHeight="1">
      <x:c r="A12" s="1"/>
      <x:c r="B12" s="22" t="str">
        <x:v>Free users per paid user</x:v>
      </x:c>
      <x:c r="C12" s="25" t="n">
        <x:f>IF(G12&gt;0,G13/G12,0)</x:f>
        <x:v>9</x:v>
      </x:c>
      <x:c r="D12" s="22"/>
      <x:c r="E12" s="22"/>
      <x:c r="F12" s="22" t="str">
        <x:v>Paid active users</x:v>
      </x:c>
      <x:c r="G12" s="17" t="n">
        <x:v>100</x:v>
      </x:c>
      <x:c r="H12" s="22" t="str">
        <x:v>Planning cohort, not traction</x:v>
      </x:c>
    </x:row>
    <x:row r="13" ht="22" customHeight="1">
      <x:c r="A13" s="1"/>
      <x:c r="B13" s="22" t="str">
        <x:v>Free-user cost allocated per paid user</x:v>
      </x:c>
      <x:c r="C13" s="24" t="n">
        <x:f>C12*C49</x:f>
        <x:v>22.55265</x:v>
      </x:c>
      <x:c r="D13" s="22"/>
      <x:c r="E13" s="22"/>
      <x:c r="F13" s="22" t="str">
        <x:v>Free active users</x:v>
      </x:c>
      <x:c r="G13" s="17" t="n">
        <x:v>900</x:v>
      </x:c>
      <x:c r="H13" s="22" t="str">
        <x:v>Planning cohort, not traction</x:v>
      </x:c>
    </x:row>
    <x:row r="14" ht="22" customHeight="1">
      <x:c r="A14" s="1"/>
      <x:c r="B14" s="22" t="str">
        <x:v>Shared fixed cost allocated per paid user</x:v>
      </x:c>
      <x:c r="C14" s="24" t="n">
        <x:f>IF(G12&gt;0,G29/G12,0)</x:f>
        <x:v>45</x:v>
      </x:c>
      <x:c r="D14" s="22"/>
      <x:c r="E14" s="22"/>
      <x:c r="F14" s="22" t="str">
        <x:v>Storage USD per GB-month</x:v>
      </x:c>
      <x:c r="G14" s="16" t="n">
        <x:v>0.0213</x:v>
      </x:c>
      <x:c r="H14" s="22" t="str">
        <x:v>https://supabase.com/pricing — Pro storage overage rate</x:v>
      </x:c>
    </x:row>
    <x:row r="15" ht="22" customHeight="1">
      <x:c r="A15" s="1"/>
      <x:c r="B15" s="22" t="str">
        <x:v>Cohort balance before salaries and acquisition</x:v>
      </x:c>
      <x:c r="C15" s="24" t="n">
        <x:f>G12*C11-G13*C49-G29</x:f>
        <x:v>2859.513644067797</x:v>
      </x:c>
      <x:c r="D15" s="22"/>
      <x:c r="E15" s="22"/>
      <x:c r="F15" s="22" t="str">
        <x:v>Egress USD per GB</x:v>
      </x:c>
      <x:c r="G15" s="16" t="n">
        <x:v>0.09</x:v>
      </x:c>
      <x:c r="H15" s="22" t="str">
        <x:v>https://supabase.com/pricing — uncached egress overage rate</x:v>
      </x:c>
    </x:row>
    <x:row r="16" ht="22" customHeight="1">
      <x:c r="A16" s="1"/>
      <x:c r="B16" s="22"/>
      <x:c r="C16" s="22"/>
      <x:c r="D16" s="22"/>
      <x:c r="E16" s="22"/>
      <x:c r="F16" s="22" t="str">
        <x:v>AI answer budget in INR</x:v>
      </x:c>
      <x:c r="G16" s="16" t="n">
        <x:v>0.3</x:v>
      </x:c>
      <x:c r="H16" s="22" t="str">
        <x:v>Planning allowance per bounded text answer; provider/model unverified</x:v>
      </x:c>
    </x:row>
    <x:row r="17" ht="22" customHeight="1">
      <x:c r="A17" s="1"/>
      <x:c r="B17" s="22" t="str">
        <x:v>Edit blue inputs to test usage.</x:v>
      </x:c>
      <x:c r="C17" s="22"/>
      <x:c r="D17" s="22"/>
      <x:c r="E17" s="22"/>
      <x:c r="F17" s="22" t="str">
        <x:v>Paid stored media GB</x:v>
      </x:c>
      <x:c r="G17" s="13" t="n">
        <x:v>1</x:v>
      </x:c>
      <x:c r="H17" s="22" t="str">
        <x:v>Typical assumption; proposed plan cap 5 GB</x:v>
      </x:c>
    </x:row>
    <x:row r="18" ht="22" customHeight="1">
      <x:c r="A18" s="1"/>
      <x:c r="B18" s="22" t="str">
        <x:v>Full-allowance costs rise. See rows 58–60.</x:v>
      </x:c>
      <x:c r="C18" s="22"/>
      <x:c r="D18" s="22"/>
      <x:c r="E18" s="22"/>
      <x:c r="F18" s="22" t="str">
        <x:v>Paid delivered media GB</x:v>
      </x:c>
      <x:c r="G18" s="13" t="n">
        <x:v>0.5</x:v>
      </x:c>
      <x:c r="H18" s="22" t="str">
        <x:v>Typical assumption; stress input 1 GB</x:v>
      </x:c>
    </x:row>
    <x:row r="19" ht="22" customHeight="1">
      <x:c r="A19" s="1"/>
      <x:c r="B19" s="22"/>
      <x:c r="C19" s="22"/>
      <x:c r="D19" s="22"/>
      <x:c r="E19" s="22"/>
      <x:c r="F19" s="22" t="str">
        <x:v>Paid AI answers/month</x:v>
      </x:c>
      <x:c r="G19" s="13" t="n">
        <x:v>20</x:v>
      </x:c>
      <x:c r="H19" s="22" t="str">
        <x:v>Typical assumption; proposed plan cap 50</x:v>
      </x:c>
    </x:row>
    <x:row r="20" ht="22" customHeight="1">
      <x:c r="A20" s="1"/>
      <x:c r="B20" s="22"/>
      <x:c r="C20" s="22"/>
      <x:c r="D20" s="22"/>
      <x:c r="E20" s="22"/>
      <x:c r="F20" s="22" t="str">
        <x:v>Paid research starts/month</x:v>
      </x:c>
      <x:c r="G20" s="13" t="n">
        <x:v>1</x:v>
      </x:c>
      <x:c r="H20" s="22" t="str">
        <x:v>Proposed plan cap 1; failed starts consume allowance</x:v>
      </x:c>
    </x:row>
    <x:row r="21" ht="22" customHeight="1">
      <x:c r="A21" s="1"/>
      <x:c r="B21" s="22"/>
      <x:c r="C21" s="22"/>
      <x:c r="D21" s="22"/>
      <x:c r="E21" s="22"/>
      <x:c r="F21" s="22" t="str">
        <x:v>Steps per research start</x:v>
      </x:c>
      <x:c r="G21" s="13" t="n">
        <x:v>6</x:v>
      </x:c>
      <x:c r="H21" s="22" t="str">
        <x:v>Planning assumption; implemented hard cap 12</x:v>
      </x:c>
    </x:row>
    <x:row r="22" ht="22" customHeight="1">
      <x:c r="A22" s="1"/>
      <x:c r="B22" s="22"/>
      <x:c r="C22" s="22"/>
      <x:c r="D22" s="22"/>
      <x:c r="E22" s="22"/>
      <x:c r="F22" s="22" t="str">
        <x:v>Paid processing budget INR</x:v>
      </x:c>
      <x:c r="G22" s="13" t="n">
        <x:v>1</x:v>
      </x:c>
      <x:c r="H22" s="22" t="str">
        <x:v>Planning allowance; stress input 2</x:v>
      </x:c>
    </x:row>
    <x:row r="23" ht="22" customHeight="1">
      <x:c r="A23" s="1"/>
      <x:c r="B23" s="22"/>
      <x:c r="C23" s="22"/>
      <x:c r="D23" s="22"/>
      <x:c r="E23" s="22"/>
      <x:c r="F23" s="22" t="str">
        <x:v>Paid support budget INR</x:v>
      </x:c>
      <x:c r="G23" s="13" t="n">
        <x:v>5</x:v>
      </x:c>
      <x:c r="H23" s="22" t="str">
        <x:v>Planning allowance, excludes founder salary</x:v>
      </x:c>
    </x:row>
    <x:row r="24" ht="22" customHeight="1">
      <x:c r="A24" s="1"/>
      <x:c r="B24" s="22"/>
      <x:c r="C24" s="22"/>
      <x:c r="D24" s="22"/>
      <x:c r="E24" s="22"/>
      <x:c r="F24" s="22" t="str">
        <x:v>Free stored media GB</x:v>
      </x:c>
      <x:c r="G24" s="13" t="n">
        <x:v>0.05</x:v>
      </x:c>
      <x:c r="H24" s="22" t="str">
        <x:v>Typical assumption; proposed plan cap 0.25 GB</x:v>
      </x:c>
    </x:row>
    <x:row r="25" ht="22" customHeight="1">
      <x:c r="A25" s="1"/>
      <x:c r="B25" s="22"/>
      <x:c r="C25" s="22"/>
      <x:c r="D25" s="22"/>
      <x:c r="E25" s="22"/>
      <x:c r="F25" s="22" t="str">
        <x:v>Free delivered media GB</x:v>
      </x:c>
      <x:c r="G25" s="13" t="n">
        <x:v>0.1</x:v>
      </x:c>
      <x:c r="H25" s="22" t="str">
        <x:v>Planning assumption</x:v>
      </x:c>
    </x:row>
    <x:row r="26" ht="22" customHeight="1">
      <x:c r="A26" s="1"/>
      <x:c r="B26" s="22"/>
      <x:c r="C26" s="22"/>
      <x:c r="D26" s="22"/>
      <x:c r="E26" s="22"/>
      <x:c r="F26" s="22" t="str">
        <x:v>Free AI answers/month</x:v>
      </x:c>
      <x:c r="G26" s="13" t="n">
        <x:v>5</x:v>
      </x:c>
      <x:c r="H26" s="22" t="str">
        <x:v>Planning assumption; proposed cap 5</x:v>
      </x:c>
    </x:row>
    <x:row r="27" ht="22" customHeight="1">
      <x:c r="A27" s="1"/>
      <x:c r="B27" s="22"/>
      <x:c r="C27" s="22"/>
      <x:c r="D27" s="22"/>
      <x:c r="E27" s="22"/>
      <x:c r="F27" s="22" t="str">
        <x:v>Free processing budget INR</x:v>
      </x:c>
      <x:c r="G27" s="13" t="n">
        <x:v>0.1</x:v>
      </x:c>
      <x:c r="H27" s="22" t="str">
        <x:v>Planning allowance</x:v>
      </x:c>
    </x:row>
    <x:row r="28" ht="22" customHeight="1">
      <x:c r="A28" s="1"/>
      <x:c r="B28" s="22"/>
      <x:c r="C28" s="22"/>
      <x:c r="D28" s="22"/>
      <x:c r="E28" s="22"/>
      <x:c r="F28" s="22" t="str">
        <x:v>Shared hosting/database USD</x:v>
      </x:c>
      <x:c r="G28" s="13" t="n">
        <x:v>50</x:v>
      </x:c>
      <x:c r="H28" s="22" t="str">
        <x:v>Budget assumption: includes Supabase Pro base $25 plus $25 hosting/operations</x:v>
      </x:c>
    </x:row>
    <x:row r="29" ht="22" customHeight="1">
      <x:c r="A29" s="1"/>
      <x:c r="B29" s="22"/>
      <x:c r="C29" s="22"/>
      <x:c r="D29" s="22"/>
      <x:c r="E29" s="22"/>
      <x:c r="F29" s="22" t="str">
        <x:v>Shared fixed cost INR</x:v>
      </x:c>
      <x:c r="G29" s="15" t="n">
        <x:f>G28*G6</x:f>
        <x:v>4500</x:v>
      </x:c>
      <x:c r="H29" s="22"/>
    </x:row>
    <x:row r="30" ht="22" customHeight="1">
      <x:c r="A30" s="1"/>
      <x:c r="B30" s="22"/>
      <x:c r="C30" s="22"/>
      <x:c r="D30" s="22"/>
      <x:c r="E30" s="22"/>
      <x:c r="F30" s="22"/>
      <x:c r="G30" s="22"/>
      <x:c r="H30" s="22"/>
    </x:row>
    <x:row r="31" ht="22" customHeight="1">
      <x:c r="A31" s="1"/>
      <x:c r="B31" s="22"/>
      <x:c r="C31" s="22"/>
      <x:c r="D31" s="22"/>
      <x:c r="E31" s="22"/>
      <x:c r="F31" s="22"/>
      <x:c r="G31" s="22"/>
      <x:c r="H31" s="22"/>
    </x:row>
    <x:row r="32" ht="22" customHeight="1">
      <x:c r="A32" s="1"/>
      <x:c r="B32" s="22"/>
      <x:c r="C32" s="22"/>
      <x:c r="D32" s="22"/>
      <x:c r="E32" s="22"/>
      <x:c r="F32" s="22"/>
      <x:c r="G32" s="22"/>
      <x:c r="H32" s="22"/>
    </x:row>
    <x:row r="33" ht="22" customHeight="1">
      <x:c r="A33" s="1"/>
      <x:c r="B33" s="22"/>
      <x:c r="C33" s="22"/>
      <x:c r="D33" s="22"/>
      <x:c r="E33" s="22"/>
      <x:c r="F33" s="22"/>
      <x:c r="G33" s="22"/>
      <x:c r="H33" s="22"/>
    </x:row>
    <x:row r="34" ht="22" customHeight="1">
      <x:c r="A34" s="1"/>
      <x:c r="B34" s="23" t="str">
        <x:v>Paid service cost per user</x:v>
      </x:c>
      <x:c r="C34" s="23"/>
      <x:c r="D34" s="22"/>
      <x:c r="E34" s="22"/>
      <x:c r="F34" s="22"/>
      <x:c r="G34" s="22"/>
      <x:c r="H34" s="22"/>
    </x:row>
    <x:row r="35" ht="22" customHeight="1">
      <x:c r="A35" s="1"/>
      <x:c r="B35" s="22"/>
      <x:c r="C35" s="22"/>
      <x:c r="D35" s="22"/>
      <x:c r="E35" s="22"/>
      <x:c r="F35" s="22"/>
      <x:c r="G35" s="22"/>
      <x:c r="H35" s="22"/>
    </x:row>
    <x:row r="36" ht="22" customHeight="1">
      <x:c r="A36" s="1"/>
      <x:c r="B36" s="22" t="str">
        <x:v>Media storage</x:v>
      </x:c>
      <x:c r="C36" s="24" t="n">
        <x:f>G17*G14*G6</x:f>
        <x:v>1.917</x:v>
      </x:c>
      <x:c r="D36" s="22"/>
      <x:c r="E36" s="22"/>
      <x:c r="F36" s="22"/>
      <x:c r="G36" s="22"/>
      <x:c r="H36" s="22"/>
    </x:row>
    <x:row r="37" ht="22" customHeight="1">
      <x:c r="A37" s="1"/>
      <x:c r="B37" s="22" t="str">
        <x:v>Media delivery</x:v>
      </x:c>
      <x:c r="C37" s="24" t="n">
        <x:f>G18*G15*G6</x:f>
        <x:v>4.05</x:v>
      </x:c>
      <x:c r="D37" s="22"/>
      <x:c r="E37" s="22"/>
      <x:c r="F37" s="22"/>
      <x:c r="G37" s="22"/>
      <x:c r="H37" s="22"/>
    </x:row>
    <x:row r="38" ht="22" customHeight="1">
      <x:c r="A38" s="1"/>
      <x:c r="B38" s="22" t="str">
        <x:v>AI answers</x:v>
      </x:c>
      <x:c r="C38" s="24" t="n">
        <x:f>G19*G16</x:f>
        <x:v>6</x:v>
      </x:c>
      <x:c r="D38" s="22"/>
      <x:c r="E38" s="22"/>
      <x:c r="F38" s="22"/>
      <x:c r="G38" s="22"/>
      <x:c r="H38" s="22"/>
    </x:row>
    <x:row r="39" ht="22" customHeight="1">
      <x:c r="A39" s="1"/>
      <x:c r="B39" s="22" t="str">
        <x:v>TinyFish research</x:v>
      </x:c>
      <x:c r="C39" s="24" t="n">
        <x:f>G20*G21*G11*G6</x:f>
        <x:v>8.64</x:v>
      </x:c>
      <x:c r="D39" s="22"/>
      <x:c r="E39" s="22"/>
      <x:c r="F39" s="22"/>
      <x:c r="G39" s="22"/>
      <x:c r="H39" s="22"/>
    </x:row>
    <x:row r="40" ht="22" customHeight="1">
      <x:c r="A40" s="1"/>
      <x:c r="B40" s="22" t="str">
        <x:v>Processing</x:v>
      </x:c>
      <x:c r="C40" s="24" t="n">
        <x:f>G22</x:f>
        <x:v>1</x:v>
      </x:c>
      <x:c r="D40" s="22"/>
      <x:c r="E40" s="22"/>
      <x:c r="F40" s="22"/>
      <x:c r="G40" s="22"/>
      <x:c r="H40" s="22"/>
    </x:row>
    <x:row r="41" ht="22" customHeight="1">
      <x:c r="A41" s="1"/>
      <x:c r="B41" s="22" t="str">
        <x:v>Support</x:v>
      </x:c>
      <x:c r="C41" s="24" t="n">
        <x:f>G23</x:f>
        <x:v>5</x:v>
      </x:c>
      <x:c r="D41" s="22"/>
      <x:c r="E41" s="22"/>
      <x:c r="F41" s="22"/>
      <x:c r="G41" s="22"/>
      <x:c r="H41" s="22"/>
    </x:row>
    <x:row r="42" ht="22" customHeight="1">
      <x:c r="A42" s="1"/>
      <x:c r="B42" s="22"/>
      <x:c r="C42" s="26"/>
      <x:c r="D42" s="22"/>
      <x:c r="E42" s="22"/>
      <x:c r="F42" s="22"/>
      <x:c r="G42" s="22"/>
      <x:c r="H42" s="22"/>
    </x:row>
    <x:row r="43" ht="22" customHeight="1">
      <x:c r="A43" s="1"/>
      <x:c r="B43" s="22"/>
      <x:c r="C43" s="26"/>
      <x:c r="D43" s="22"/>
      <x:c r="E43" s="22"/>
      <x:c r="F43" s="22"/>
      <x:c r="G43" s="22"/>
      <x:c r="H43" s="22"/>
    </x:row>
    <x:row r="44" ht="22" customHeight="1">
      <x:c r="A44" s="1"/>
      <x:c r="B44" s="23" t="str">
        <x:v>Free service cost per user</x:v>
      </x:c>
      <x:c r="C44" s="27"/>
      <x:c r="D44" s="22"/>
      <x:c r="E44" s="22"/>
      <x:c r="F44" s="22"/>
      <x:c r="G44" s="22"/>
      <x:c r="H44" s="22"/>
    </x:row>
    <x:row r="45" ht="22" customHeight="1">
      <x:c r="A45" s="1"/>
      <x:c r="B45" s="22"/>
      <x:c r="C45" s="26"/>
      <x:c r="D45" s="22"/>
      <x:c r="E45" s="22"/>
      <x:c r="F45" s="22"/>
      <x:c r="G45" s="22"/>
      <x:c r="H45" s="22"/>
    </x:row>
    <x:row r="46" ht="22" customHeight="1">
      <x:c r="A46" s="1"/>
      <x:c r="B46" s="22" t="str">
        <x:v>Media storage</x:v>
      </x:c>
      <x:c r="C46" s="24" t="n">
        <x:f>G24*G14*G6</x:f>
        <x:v>0.09584999999999999</x:v>
      </x:c>
      <x:c r="D46" s="22"/>
      <x:c r="E46" s="22"/>
      <x:c r="F46" s="22"/>
      <x:c r="G46" s="22"/>
      <x:c r="H46" s="22"/>
    </x:row>
    <x:row r="47" ht="22" customHeight="1">
      <x:c r="A47" s="1"/>
      <x:c r="B47" s="22" t="str">
        <x:v>Media delivery</x:v>
      </x:c>
      <x:c r="C47" s="24" t="n">
        <x:f>G25*G15*G6</x:f>
        <x:v>0.8099999999999999</x:v>
      </x:c>
      <x:c r="D47" s="22"/>
      <x:c r="E47" s="22"/>
      <x:c r="F47" s="22"/>
      <x:c r="G47" s="22"/>
      <x:c r="H47" s="22"/>
    </x:row>
    <x:row r="48" ht="22" customHeight="1">
      <x:c r="A48" s="1"/>
      <x:c r="B48" s="22" t="str">
        <x:v>AI and processing</x:v>
      </x:c>
      <x:c r="C48" s="24" t="n">
        <x:f>G26*G16+G27</x:f>
        <x:v>1.6</x:v>
      </x:c>
      <x:c r="D48" s="22"/>
      <x:c r="E48" s="22"/>
      <x:c r="F48" s="22"/>
      <x:c r="G48" s="22"/>
      <x:c r="H48" s="22"/>
    </x:row>
    <x:row r="49" ht="22" customHeight="1">
      <x:c r="A49" s="1"/>
      <x:c r="B49" s="22" t="str">
        <x:v>Total</x:v>
      </x:c>
      <x:c r="C49" s="24" t="n">
        <x:f>SUM(C46:C48)</x:f>
        <x:v>2.50585</x:v>
      </x:c>
      <x:c r="D49" s="22"/>
      <x:c r="E49" s="22"/>
      <x:c r="F49" s="22"/>
      <x:c r="G49" s="22"/>
      <x:c r="H49" s="22"/>
    </x:row>
    <x:row r="50" ht="22" customHeight="1">
      <x:c r="A50" s="1"/>
      <x:c r="B50" s="22"/>
      <x:c r="C50" s="22"/>
      <x:c r="D50" s="22"/>
      <x:c r="E50" s="22"/>
      <x:c r="F50" s="22"/>
      <x:c r="G50" s="22"/>
      <x:c r="H50" s="22"/>
    </x:row>
    <x:row r="51" ht="22" customHeight="1">
      <x:c r="A51" s="1"/>
      <x:c r="B51" s="22"/>
      <x:c r="C51" s="22"/>
      <x:c r="D51" s="22"/>
      <x:c r="E51" s="22"/>
      <x:c r="F51" s="22"/>
      <x:c r="G51" s="22"/>
      <x:c r="H51" s="22"/>
    </x:row>
    <x:row r="52" ht="22" customHeight="1">
      <x:c r="A52" s="1"/>
      <x:c r="B52" s="22" t="str">
        <x:v>Excluded: salaries, acquisition, refunds, chargebacks, legal costs and one-off development.</x:v>
      </x:c>
      <x:c r="C52" s="22"/>
      <x:c r="D52" s="22"/>
      <x:c r="E52" s="22"/>
      <x:c r="F52" s="22"/>
      <x:c r="G52" s="22"/>
      <x:c r="H52" s="22"/>
    </x:row>
    <x:row r="53" ht="22" customHeight="1">
      <x:c r="A53" s="1"/>
      <x:c r="B53" s="22" t="str">
        <x:v>Marginal provider rates are charged for every modeled GB; included provider quotas are not used as permanent margin.</x:v>
      </x:c>
      <x:c r="C53" s="22"/>
      <x:c r="D53" s="22"/>
      <x:c r="E53" s="22"/>
      <x:c r="F53" s="22"/>
      <x:c r="G53" s="22"/>
      <x:c r="H53" s="22"/>
    </x:row>
    <x:row r="54" ht="22" customHeight="1">
      <x:c r="A54" s="1"/>
      <x:c r="B54" s="22" t="str">
        <x:v>The model does not assume a Cloudflare R2 migration. Current source uses Supabase storage.</x:v>
      </x:c>
      <x:c r="C54" s="22"/>
      <x:c r="D54" s="22"/>
      <x:c r="E54" s="22"/>
      <x:c r="F54" s="22"/>
      <x:c r="G54" s="22"/>
      <x:c r="H54" s="22"/>
    </x:row>
    <x:row r="55" ht="22" customHeight="1">
      <x:c r="A55" s="1"/>
      <x:c r="B55" s="22" t="str">
        <x:v>Commercial allowances are proposals. The current restricted demo has separate account quotas.</x:v>
      </x:c>
      <x:c r="C55" s="22"/>
      <x:c r="D55" s="22"/>
      <x:c r="E55" s="22"/>
      <x:c r="F55" s="22"/>
      <x:c r="G55" s="22"/>
      <x:c r="H55" s="22"/>
    </x:row>
    <x:row r="56" ht="22" customHeight="1">
      <x:c r="A56" s="1"/>
      <x:c r="B56" s="22" t="str">
        <x:v>Free trial research must have a separate finite acquisition budget. It is excluded from recurring free usage here.</x:v>
      </x:c>
      <x:c r="C56" s="22"/>
      <x:c r="D56" s="22"/>
      <x:c r="E56" s="22"/>
      <x:c r="F56" s="22"/>
      <x:c r="G56" s="22"/>
      <x:c r="H56" s="22"/>
    </x:row>
    <x:row r="57" ht="22" customHeight="1">
      <x:c r="A57" s="1"/>
      <x:c r="B57" s="22"/>
      <x:c r="C57" s="22"/>
      <x:c r="D57" s="22"/>
      <x:c r="E57" s="22"/>
      <x:c r="F57" s="22"/>
      <x:c r="G57" s="22"/>
      <x:c r="H57" s="22"/>
    </x:row>
    <x:row r="58" ht="22" customHeight="1">
      <x:c r="A58" s="1"/>
      <x:c r="B58" s="22" t="str">
        <x:v>Full-allowance stress inputs</x:v>
      </x:c>
      <x:c r="C58" s="22"/>
      <x:c r="D58" s="22"/>
      <x:c r="E58" s="22"/>
      <x:c r="F58" s="22"/>
      <x:c r="G58" s="22"/>
      <x:c r="H58" s="22"/>
    </x:row>
    <x:row r="59" ht="22" customHeight="1">
      <x:c r="A59" s="1"/>
      <x:c r="B59" s="22" t="str">
        <x:v>Set G17=5, G18=1, G19=50, G21=12 and G22=2. All other inputs stay unchanged.</x:v>
      </x:c>
      <x:c r="C59" s="22"/>
      <x:c r="D59" s="22"/>
      <x:c r="E59" s="22"/>
      <x:c r="F59" s="22"/>
      <x:c r="G59" s="22"/>
      <x:c r="H59" s="22"/>
    </x:row>
    <x:row r="60" ht="22" customHeight="1">
      <x:c r="A60" s="1"/>
      <x:c r="B60" s="22" t="str">
        <x:v>At 100 paid and 900 free users this stress case is slightly negative. Reduce allowances or reprice before launch.</x:v>
      </x:c>
      <x:c r="C60" s="22"/>
      <x:c r="D60" s="22"/>
      <x:c r="E60" s="22"/>
      <x:c r="F60" s="22"/>
      <x:c r="G60" s="22"/>
      <x:c r="H60" s="22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</x:sheetData>
  <x:conditionalFormatting sqref="C15:C15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18" hidden="0" customWidth="1"/>
    <x:col min="4" max="4" width="31" hidden="0" customWidth="1"/>
    <x:col min="5" max="5" width="3" hidden="0" customWidth="1"/>
    <x:col min="6" max="6" width="33" hidden="0" customWidth="1"/>
    <x:col min="7" max="7" width="52" hidden="0" customWidth="1"/>
    <x:col min="8" max="8" width="7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</x:row>
    <x:row r="2" ht="22" customHeight="1">
      <x:c r="A2" s="1"/>
      <x:c r="B2" s="20" t="str">
        <x:v>Journal alternatives and differentiation</x:v>
      </x:c>
      <x:c r="C2" s="20"/>
      <x:c r="D2" s="20"/>
      <x:c r="E2" s="20"/>
      <x:c r="F2" s="20"/>
      <x:c r="G2" s="20"/>
      <x:c r="H2" s="20"/>
    </x:row>
    <x:row r="3" ht="22" customHeight="1">
      <x:c r="A3" s="1"/>
      <x:c r="B3" s="21" t="str">
        <x:v>Public web prices checked 20 October 2026. USD prices are not India checkout quotes.</x:v>
      </x:c>
      <x:c r="C3" s="21"/>
      <x:c r="D3" s="21"/>
      <x:c r="E3" s="21"/>
      <x:c r="F3" s="21"/>
      <x:c r="G3" s="21"/>
      <x:c r="H3" s="21"/>
    </x:row>
    <x:row r="4" ht="22" customHeight="1">
      <x:c r="A4" s="1"/>
      <x:c r="B4" s="22"/>
      <x:c r="C4" s="22"/>
      <x:c r="D4" s="22"/>
      <x:c r="E4" s="22"/>
      <x:c r="F4" s="22"/>
      <x:c r="G4" s="22"/>
      <x:c r="H4" s="22"/>
    </x:row>
    <x:row r="5" ht="22" customHeight="1">
      <x:c r="A5" s="1"/>
      <x:c r="B5" s="23" t="str">
        <x:v>Product / plan</x:v>
      </x:c>
      <x:c r="C5" s="23" t="str">
        <x:v>Published price</x:v>
      </x:c>
      <x:c r="D5" s="23" t="str">
        <x:v>Billing basis</x:v>
      </x:c>
      <x:c r="E5" s="22"/>
      <x:c r="F5" s="23" t="str">
        <x:v>Product</x:v>
      </x:c>
      <x:c r="G5" s="23" t="str">
        <x:v>Relevant overlap</x:v>
      </x:c>
      <x:c r="H5" s="23" t="str">
        <x:v>Source</x:v>
      </x:c>
    </x:row>
    <x:row r="6" ht="22" customHeight="1">
      <x:c r="A6" s="1"/>
      <x:c r="B6" s="22" t="str">
        <x:v>Day One Basic</x:v>
      </x:c>
      <x:c r="C6" s="28" t="n">
        <x:v>0</x:v>
      </x:c>
      <x:c r="D6" s="22" t="str">
        <x:v>USD / year</x:v>
      </x:c>
      <x:c r="E6" s="22"/>
      <x:c r="F6" s="22" t="str">
        <x:v>Day One</x:v>
      </x:c>
      <x:c r="G6" s="22" t="str">
        <x:v>Media, prompts, AI, sharing</x:v>
      </x:c>
      <x:c r="H6" s="22" t="str">
        <x:v>https://dayoneapp.com/plans/</x:v>
      </x:c>
    </x:row>
    <x:row r="7" ht="22" customHeight="1">
      <x:c r="A7" s="1"/>
      <x:c r="B7" s="22" t="str">
        <x:v>Day One Silver</x:v>
      </x:c>
      <x:c r="C7" s="28" t="n">
        <x:v>49.99</x:v>
      </x:c>
      <x:c r="D7" s="22" t="str">
        <x:v>USD / year</x:v>
      </x:c>
      <x:c r="E7" s="22"/>
      <x:c r="F7" s="22" t="str">
        <x:v>Journey</x:v>
      </x:c>
      <x:c r="G7" s="22" t="str">
        <x:v>Media, templates, companion, sharing</x:v>
      </x:c>
      <x:c r="H7" s="22" t="str">
        <x:v>https://journey.cloud/membership</x:v>
      </x:c>
    </x:row>
    <x:row r="8" ht="22" customHeight="1">
      <x:c r="A8" s="1"/>
      <x:c r="B8" s="22" t="str">
        <x:v>Day One Gold</x:v>
      </x:c>
      <x:c r="C8" s="28" t="n">
        <x:v>74.99</x:v>
      </x:c>
      <x:c r="D8" s="22" t="str">
        <x:v>USD / year</x:v>
      </x:c>
      <x:c r="E8" s="22"/>
      <x:c r="F8" s="22" t="str">
        <x:v>Schema</x:v>
      </x:c>
      <x:c r="G8" s="22" t="str">
        <x:v>Crafted pages and reviewed public event context</x:v>
      </x:c>
      <x:c r="H8" s="22" t="str">
        <x:v>User product blueprint and current source</x:v>
      </x:c>
    </x:row>
    <x:row r="9" ht="22" customHeight="1">
      <x:c r="A9" s="1"/>
      <x:c r="B9" s="22" t="str">
        <x:v>Journey Membership</x:v>
      </x:c>
      <x:c r="C9" s="28" t="n">
        <x:v>4.17</x:v>
      </x:c>
      <x:c r="D9" s="22" t="str">
        <x:v>USD / month, billed annually</x:v>
      </x:c>
      <x:c r="E9" s="22"/>
      <x:c r="F9" s="22" t="str">
        <x:v>Positioning</x:v>
      </x:c>
      <x:c r="G9" s="22" t="str">
        <x:v>Test the complete capture/revisit workflow</x:v>
      </x:c>
      <x:c r="H9" s="22" t="str">
        <x:v>Do not claim journaling, AI or sharing alone is unique</x:v>
      </x:c>
    </x:row>
    <x:row r="10" ht="22" customHeight="1">
      <x:c r="A10" s="1"/>
      <x:c r="B10" s="22"/>
      <x:c r="C10" s="22"/>
      <x:c r="D10" s="22"/>
      <x:c r="E10" s="22"/>
      <x:c r="F10" s="22"/>
      <x:c r="G10" s="22"/>
      <x:c r="H10" s="22"/>
    </x:row>
    <x:row r="11" ht="22" customHeight="1">
      <x:c r="A11" s="1"/>
      <x:c r="B11" s="22"/>
      <x:c r="C11" s="22"/>
      <x:c r="D11" s="22"/>
      <x:c r="E11" s="22"/>
      <x:c r="F11" s="22"/>
      <x:c r="G11" s="22"/>
      <x:c r="H11" s="22"/>
    </x:row>
    <x:row r="12" ht="22" customHeight="1">
      <x:c r="A12" s="1"/>
      <x:c r="B12" s="22" t="str">
        <x:v>Pilot proposal</x:v>
      </x:c>
      <x:c r="C12" s="22"/>
      <x:c r="D12" s="22"/>
      <x:c r="E12" s="22"/>
      <x:c r="F12" s="22"/>
      <x:c r="G12" s="22"/>
      <x:c r="H12" s="22"/>
    </x:row>
    <x:row r="13" ht="22" customHeight="1">
      <x:c r="A13" s="1"/>
      <x:c r="B13" s="22" t="str">
        <x:v>Start with 20 adult DTU users. Observe page creation and revisits, then ask willingness to pay.</x:v>
      </x:c>
      <x:c r="C13" s="22"/>
      <x:c r="D13" s="22"/>
      <x:c r="E13" s="22"/>
      <x:c r="F13" s="22"/>
      <x:c r="G13" s="22"/>
      <x:c r="H13" s="22"/>
    </x:row>
    <x:row r="14" ht="22" customHeight="1">
      <x:c r="A14" s="1"/>
      <x:c r="B14" s="22" t="str">
        <x:v>Record actual interviews, retained use, provider costs and failed research. No interviews or retention results are claimed here.</x:v>
      </x:c>
      <x:c r="C14" s="22"/>
      <x:c r="D14" s="22"/>
      <x:c r="E14" s="22"/>
      <x:c r="F14" s="22"/>
      <x:c r="G14" s="22"/>
      <x:c r="H14" s="22"/>
    </x:row>
    <x:row r="15" ht="22" customHeight="1">
      <x:c r="A15" s="1"/>
      <x:c r="B15" s="22"/>
      <x:c r="C15" s="22"/>
      <x:c r="D15" s="22"/>
      <x:c r="E15" s="22"/>
      <x:c r="F15" s="22"/>
      <x:c r="G15" s="22"/>
      <x:c r="H15" s="22"/>
    </x:row>
    <x:row r="16" ht="22" customHeight="1">
      <x:c r="A16" s="1"/>
      <x:c r="B16" s="22" t="str">
        <x:v>Commercial proposal</x:v>
      </x:c>
      <x:c r="C16" s="22"/>
      <x:c r="D16" s="22"/>
      <x:c r="E16" s="22"/>
      <x:c r="F16" s="22"/>
      <x:c r="G16" s="22"/>
      <x:c r="H16" s="22"/>
    </x:row>
    <x:row r="17" ht="22" customHeight="1">
      <x:c r="A17" s="1"/>
      <x:c r="B17" s="22" t="str">
        <x:v>Free: 250 MB media, five AI answers/month. Plus: ₹149/month, 5 GB, 50 AI answers and one bounded research start/month.</x:v>
      </x:c>
      <x:c r="C17" s="22"/>
      <x:c r="D17" s="22"/>
      <x:c r="E17" s="22"/>
      <x:c r="F17" s="22"/>
      <x:c r="G17" s="22"/>
      <x:c r="H17" s="22"/>
    </x:row>
    <x:row r="18" ht="22" customHeight="1">
      <x:c r="A18" s="1"/>
      <x:c r="B18" s="22" t="str">
        <x:v>Keep existing pages readable/exportable after downgrade. Additional research packs require cost validation.</x:v>
      </x:c>
      <x:c r="C18" s="22"/>
      <x:c r="D18" s="22"/>
      <x:c r="E18" s="22"/>
      <x:c r="F18" s="22"/>
      <x:c r="G18" s="22"/>
      <x:c r="H18" s="22"/>
    </x:row>
    <x:row r="19" ht="22" customHeight="1">
      <x:c r="A19" s="1"/>
      <x:c r="B19" s="22"/>
      <x:c r="C19" s="22"/>
      <x:c r="D19" s="22"/>
      <x:c r="E19" s="22"/>
      <x:c r="F19" s="22"/>
      <x:c r="G19" s="22"/>
      <x:c r="H19" s="22"/>
    </x:row>
    <x:row r="20" ht="22" customHeight="1">
      <x:c r="A20" s="1"/>
      <x:c r="B20" s="22"/>
      <x:c r="C20" s="22"/>
      <x:c r="D20" s="22"/>
      <x:c r="E20" s="22"/>
      <x:c r="F20" s="22"/>
      <x:c r="G20" s="22"/>
      <x:c r="H20" s="22"/>
    </x:row>
    <x:row r="21" ht="22" customHeight="1">
      <x:c r="A21" s="1"/>
      <x:c r="B21" s="22"/>
      <x:c r="C21" s="22"/>
      <x:c r="D21" s="22"/>
      <x:c r="E21" s="22"/>
      <x:c r="F21" s="22"/>
      <x:c r="G21" s="22"/>
      <x:c r="H21" s="22"/>
    </x:row>
    <x:row r="22" ht="22" customHeight="1">
      <x:c r="A22" s="1"/>
      <x:c r="B22" s="22"/>
      <x:c r="C22" s="22"/>
      <x:c r="D22" s="22"/>
      <x:c r="E22" s="22"/>
      <x:c r="F22" s="22"/>
      <x:c r="G22" s="22"/>
      <x:c r="H22" s="22"/>
    </x:row>
    <x:row r="23" ht="22" customHeight="1">
      <x:c r="A23" s="1"/>
      <x:c r="B23" s="22"/>
      <x:c r="C23" s="22"/>
      <x:c r="D23" s="22"/>
      <x:c r="E23" s="22"/>
      <x:c r="F23" s="22"/>
      <x:c r="G23" s="22"/>
      <x:c r="H23" s="22"/>
    </x:row>
    <x:row r="24" ht="22" customHeight="1">
      <x:c r="A24" s="1"/>
      <x:c r="B24" s="22"/>
      <x:c r="C24" s="22"/>
      <x:c r="D24" s="22"/>
      <x:c r="E24" s="22"/>
      <x:c r="F24" s="22"/>
      <x:c r="G24" s="22"/>
      <x:c r="H24" s="22"/>
    </x:row>
    <x:row r="25" ht="22" customHeight="1">
      <x:c r="A25" s="1"/>
      <x:c r="B25" s="22"/>
      <x:c r="C25" s="22"/>
      <x:c r="D25" s="22"/>
      <x:c r="E25" s="22"/>
      <x:c r="F25" s="22"/>
      <x:c r="G25" s="22"/>
      <x:c r="H25" s="22"/>
    </x:row>
    <x:row r="26" ht="22" customHeight="1">
      <x:c r="A26" s="1"/>
      <x:c r="B26" s="22"/>
      <x:c r="C26" s="22"/>
      <x:c r="D26" s="22"/>
      <x:c r="E26" s="22"/>
      <x:c r="F26" s="22"/>
      <x:c r="G26" s="22"/>
      <x:c r="H26" s="22"/>
    </x:row>
    <x:row r="27" ht="22" customHeight="1">
      <x:c r="A27" s="1"/>
      <x:c r="B27" s="22"/>
      <x:c r="C27" s="22"/>
      <x:c r="D27" s="22"/>
      <x:c r="E27" s="22"/>
      <x:c r="F27" s="22"/>
      <x:c r="G27" s="22"/>
      <x:c r="H27" s="22"/>
    </x:row>
    <x:row r="28" ht="22" customHeight="1">
      <x:c r="A28" s="1"/>
      <x:c r="B28" s="22"/>
      <x:c r="C28" s="22"/>
      <x:c r="D28" s="22"/>
      <x:c r="E28" s="22"/>
      <x:c r="F28" s="22"/>
      <x:c r="G28" s="22"/>
      <x:c r="H28" s="22"/>
    </x:row>
    <x:row r="29" ht="22" customHeight="1">
      <x:c r="A29" s="1"/>
      <x:c r="B29" s="22"/>
      <x:c r="C29" s="22"/>
      <x:c r="D29" s="22"/>
      <x:c r="E29" s="22"/>
      <x:c r="F29" s="22"/>
      <x:c r="G29" s="22"/>
      <x:c r="H29" s="22"/>
    </x:row>
    <x:row r="30" ht="22" customHeight="1">
      <x:c r="A30" s="1"/>
      <x:c r="B30" s="22"/>
      <x:c r="C30" s="22"/>
      <x:c r="D30" s="22"/>
      <x:c r="E30" s="22"/>
      <x:c r="F30" s="22"/>
      <x:c r="G30" s="22"/>
      <x:c r="H30" s="22"/>
    </x:row>
    <x:row r="31" ht="22" customHeight="1">
      <x:c r="A31" s="1"/>
      <x:c r="B31" s="22"/>
      <x:c r="C31" s="22"/>
      <x:c r="D31" s="22"/>
      <x:c r="E31" s="22"/>
      <x:c r="F31" s="22"/>
      <x:c r="G31" s="22"/>
      <x:c r="H31" s="22"/>
    </x:row>
    <x:row r="32" ht="22" customHeight="1">
      <x:c r="A32" s="1"/>
      <x:c r="B32" s="22"/>
      <x:c r="C32" s="22"/>
      <x:c r="D32" s="22"/>
      <x:c r="E32" s="22"/>
      <x:c r="F32" s="22"/>
      <x:c r="G32" s="22"/>
      <x:c r="H32" s="22"/>
    </x:row>
    <x:row r="33" ht="22" customHeight="1">
      <x:c r="A33" s="1"/>
      <x:c r="B33" s="22"/>
      <x:c r="C33" s="22"/>
      <x:c r="D33" s="22"/>
      <x:c r="E33" s="22"/>
      <x:c r="F33" s="22"/>
      <x:c r="G33" s="22"/>
      <x:c r="H33" s="22"/>
    </x:row>
    <x:row r="34" ht="22" customHeight="1">
      <x:c r="A34" s="1"/>
      <x:c r="B34" s="22"/>
      <x:c r="C34" s="22"/>
      <x:c r="D34" s="22"/>
      <x:c r="E34" s="22"/>
      <x:c r="F34" s="22"/>
      <x:c r="G34" s="22"/>
      <x:c r="H34" s="22"/>
    </x:row>
    <x:row r="35" ht="22" customHeight="1">
      <x:c r="A35" s="1"/>
      <x:c r="B35" s="22"/>
      <x:c r="C35" s="22"/>
      <x:c r="D35" s="22"/>
      <x:c r="E35" s="22"/>
      <x:c r="F35" s="22"/>
      <x:c r="G35" s="22"/>
      <x:c r="H35" s="22"/>
    </x:row>
    <x:row r="36" ht="22" customHeight="1">
      <x:c r="A36" s="1"/>
      <x:c r="B36" s="22"/>
      <x:c r="C36" s="22"/>
      <x:c r="D36" s="22"/>
      <x:c r="E36" s="22"/>
      <x:c r="F36" s="22"/>
      <x:c r="G36" s="22"/>
      <x:c r="H36" s="22"/>
    </x:row>
    <x:row r="37" ht="22" customHeight="1">
      <x:c r="A37" s="1"/>
      <x:c r="B37" s="22"/>
      <x:c r="C37" s="22"/>
      <x:c r="D37" s="22"/>
      <x:c r="E37" s="22"/>
      <x:c r="F37" s="22"/>
      <x:c r="G37" s="22"/>
      <x:c r="H37" s="22"/>
    </x:row>
    <x:row r="38" ht="22" customHeight="1">
      <x:c r="A38" s="1"/>
      <x:c r="B38" s="22"/>
      <x:c r="C38" s="22"/>
      <x:c r="D38" s="22"/>
      <x:c r="E38" s="22"/>
      <x:c r="F38" s="22"/>
      <x:c r="G38" s="22"/>
      <x:c r="H38" s="22"/>
    </x:row>
    <x:row r="39" ht="22" customHeight="1">
      <x:c r="A39" s="1"/>
      <x:c r="B39" s="22"/>
      <x:c r="C39" s="22"/>
      <x:c r="D39" s="22"/>
      <x:c r="E39" s="22"/>
      <x:c r="F39" s="22"/>
      <x:c r="G39" s="22"/>
      <x:c r="H39" s="22"/>
    </x:row>
    <x:row r="40" ht="22" customHeight="1">
      <x:c r="A40" s="1"/>
      <x:c r="B40" s="22"/>
      <x:c r="C40" s="22"/>
      <x:c r="D40" s="22"/>
      <x:c r="E40" s="22"/>
      <x:c r="F40" s="22"/>
      <x:c r="G40" s="22"/>
      <x:c r="H40" s="22"/>
    </x:row>
    <x:row r="41" ht="22" customHeight="1">
      <x:c r="A41" s="1"/>
      <x:c r="B41" s="22"/>
      <x:c r="C41" s="22"/>
      <x:c r="D41" s="22"/>
      <x:c r="E41" s="22"/>
      <x:c r="F41" s="22"/>
      <x:c r="G41" s="22"/>
      <x:c r="H41" s="22"/>
    </x:row>
    <x:row r="42" ht="22" customHeight="1">
      <x:c r="A42" s="1"/>
      <x:c r="B42" s="22"/>
      <x:c r="C42" s="22"/>
      <x:c r="D42" s="22"/>
      <x:c r="E42" s="22"/>
      <x:c r="F42" s="22"/>
      <x:c r="G42" s="22"/>
      <x:c r="H42" s="22"/>
    </x:row>
    <x:row r="43" ht="22" customHeight="1">
      <x:c r="A43" s="1"/>
      <x:c r="B43" s="22"/>
      <x:c r="C43" s="22"/>
      <x:c r="D43" s="22"/>
      <x:c r="E43" s="22"/>
      <x:c r="F43" s="22"/>
      <x:c r="G43" s="22"/>
      <x:c r="H43" s="22"/>
    </x:row>
    <x:row r="44" ht="22" customHeight="1">
      <x:c r="A44" s="1"/>
      <x:c r="B44" s="22"/>
      <x:c r="C44" s="22"/>
      <x:c r="D44" s="22"/>
      <x:c r="E44" s="22"/>
      <x:c r="F44" s="22"/>
      <x:c r="G44" s="22"/>
      <x:c r="H44" s="22"/>
    </x:row>
    <x:row r="45" ht="22" customHeight="1">
      <x:c r="A45" s="1"/>
      <x:c r="B45" s="22"/>
      <x:c r="C45" s="22"/>
      <x:c r="D45" s="22"/>
      <x:c r="E45" s="22"/>
      <x:c r="F45" s="22"/>
      <x:c r="G45" s="22"/>
      <x:c r="H45" s="22"/>
    </x:row>
    <x:row r="46" ht="22" customHeight="1">
      <x:c r="A46" s="1"/>
      <x:c r="B46" s="22"/>
      <x:c r="C46" s="22"/>
      <x:c r="D46" s="22"/>
      <x:c r="E46" s="22"/>
      <x:c r="F46" s="22"/>
      <x:c r="G46" s="22"/>
      <x:c r="H46" s="22"/>
    </x:row>
    <x:row r="47" ht="22" customHeight="1">
      <x:c r="A47" s="1"/>
      <x:c r="B47" s="22"/>
      <x:c r="C47" s="22"/>
      <x:c r="D47" s="22"/>
      <x:c r="E47" s="22"/>
      <x:c r="F47" s="22"/>
      <x:c r="G47" s="22"/>
      <x:c r="H47" s="22"/>
    </x:row>
    <x:row r="48" ht="22" customHeight="1">
      <x:c r="A48" s="1"/>
      <x:c r="B48" s="22"/>
      <x:c r="C48" s="22"/>
      <x:c r="D48" s="22"/>
      <x:c r="E48" s="22"/>
      <x:c r="F48" s="22"/>
      <x:c r="G48" s="22"/>
      <x:c r="H48" s="22"/>
    </x:row>
    <x:row r="49" ht="22" customHeight="1">
      <x:c r="A49" s="1"/>
      <x:c r="B49" s="22"/>
      <x:c r="C49" s="22"/>
      <x:c r="D49" s="22"/>
      <x:c r="E49" s="22"/>
      <x:c r="F49" s="22"/>
      <x:c r="G49" s="22"/>
      <x:c r="H49" s="22"/>
    </x:row>
    <x:row r="50" ht="22" customHeight="1">
      <x:c r="A50" s="1"/>
      <x:c r="B50" s="22"/>
      <x:c r="C50" s="22"/>
      <x:c r="D50" s="22"/>
      <x:c r="E50" s="22"/>
      <x:c r="F50" s="22"/>
      <x:c r="G50" s="22"/>
      <x:c r="H50" s="22"/>
    </x:row>
    <x:row r="51" ht="22" customHeight="1">
      <x:c r="A51" s="1"/>
      <x:c r="B51" s="22"/>
      <x:c r="C51" s="22"/>
      <x:c r="D51" s="22"/>
      <x:c r="E51" s="22"/>
      <x:c r="F51" s="22"/>
      <x:c r="G51" s="22"/>
      <x:c r="H51" s="22"/>
    </x:row>
    <x:row r="52" ht="22" customHeight="1">
      <x:c r="A52" s="1"/>
      <x:c r="B52" s="22"/>
      <x:c r="C52" s="22"/>
      <x:c r="D52" s="22"/>
      <x:c r="E52" s="22"/>
      <x:c r="F52" s="22"/>
      <x:c r="G52" s="22"/>
      <x:c r="H52" s="22"/>
    </x:row>
    <x:row r="53" ht="22" customHeight="1">
      <x:c r="A53" s="1"/>
      <x:c r="B53" s="22"/>
      <x:c r="C53" s="22"/>
      <x:c r="D53" s="22"/>
      <x:c r="E53" s="22"/>
      <x:c r="F53" s="22"/>
      <x:c r="G53" s="22"/>
      <x:c r="H53" s="22"/>
    </x:row>
    <x:row r="54" ht="22" customHeight="1">
      <x:c r="A54" s="1"/>
      <x:c r="B54" s="22"/>
      <x:c r="C54" s="22"/>
      <x:c r="D54" s="22"/>
      <x:c r="E54" s="22"/>
      <x:c r="F54" s="22"/>
      <x:c r="G54" s="22"/>
      <x:c r="H54" s="22"/>
    </x:row>
    <x:row r="55" ht="22" customHeight="1">
      <x:c r="A55" s="1"/>
      <x:c r="B55" s="22"/>
      <x:c r="C55" s="22"/>
      <x:c r="D55" s="22"/>
      <x:c r="E55" s="22"/>
      <x:c r="F55" s="22"/>
      <x:c r="G55" s="22"/>
      <x:c r="H55" s="22"/>
    </x:row>
    <x:row r="56" ht="22" customHeight="1">
      <x:c r="A56" s="1"/>
      <x:c r="B56" s="22"/>
      <x:c r="C56" s="22"/>
      <x:c r="D56" s="22"/>
      <x:c r="E56" s="22"/>
      <x:c r="F56" s="22"/>
      <x:c r="G56" s="22"/>
      <x:c r="H56" s="22"/>
    </x:row>
    <x:row r="57" ht="22" customHeight="1">
      <x:c r="A57" s="1"/>
      <x:c r="B57" s="22"/>
      <x:c r="C57" s="22"/>
      <x:c r="D57" s="22"/>
      <x:c r="E57" s="22"/>
      <x:c r="F57" s="22"/>
      <x:c r="G57" s="22"/>
      <x:c r="H57" s="22"/>
    </x:row>
    <x:row r="58" ht="22" customHeight="1">
      <x:c r="A58" s="1"/>
      <x:c r="B58" s="22"/>
      <x:c r="C58" s="22"/>
      <x:c r="D58" s="22"/>
      <x:c r="E58" s="22"/>
      <x:c r="F58" s="22"/>
      <x:c r="G58" s="22"/>
      <x:c r="H58" s="22"/>
    </x:row>
    <x:row r="59" ht="22" customHeight="1">
      <x:c r="A59" s="1"/>
      <x:c r="B59" s="22"/>
      <x:c r="C59" s="22"/>
      <x:c r="D59" s="22"/>
      <x:c r="E59" s="22"/>
      <x:c r="F59" s="22"/>
      <x:c r="G59" s="22"/>
      <x:c r="H59" s="22"/>
    </x:row>
    <x:row r="60" ht="22" customHeight="1">
      <x:c r="A60" s="1"/>
      <x:c r="B60" s="22"/>
      <x:c r="C60" s="22"/>
      <x:c r="D60" s="22"/>
      <x:c r="E60" s="22"/>
      <x:c r="F60" s="22"/>
      <x:c r="G60" s="22"/>
      <x:c r="H60" s="22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</x:row>
    <x:row r="66" ht="22" customHeight="1">
      <x:c r="A66" s="1"/>
      <x:c r="B66" s="1"/>
      <x:c r="C66" s="1"/>
      <x:c r="D66" s="1"/>
      <x:c r="E66" s="1"/>
      <x:c r="F66" s="1"/>
      <x:c r="G66" s="1"/>
      <x:c r="H66" s="1"/>
    </x:row>
    <x:row r="67" ht="22" customHeight="1">
      <x:c r="A67" s="1"/>
      <x:c r="B67" s="1"/>
      <x:c r="C67" s="1"/>
      <x:c r="D67" s="1"/>
      <x:c r="E67" s="1"/>
      <x:c r="F67" s="1"/>
      <x:c r="G67" s="1"/>
      <x:c r="H67" s="1"/>
    </x:row>
    <x:row r="68" ht="22" customHeight="1">
      <x:c r="A68" s="1"/>
      <x:c r="B68" s="1"/>
      <x:c r="C68" s="1"/>
      <x:c r="D68" s="1"/>
      <x:c r="E68" s="1"/>
      <x:c r="F68" s="1"/>
      <x:c r="G68" s="1"/>
      <x:c r="H68" s="1"/>
    </x:row>
    <x:row r="69" ht="22" customHeight="1">
      <x:c r="A69" s="1"/>
      <x:c r="B69" s="1"/>
      <x:c r="C69" s="1"/>
      <x:c r="D69" s="1"/>
      <x:c r="E69" s="1"/>
      <x:c r="F69" s="1"/>
      <x:c r="G69" s="1"/>
      <x:c r="H69" s="1"/>
    </x:row>
    <x:row r="70" ht="22" customHeight="1">
      <x:c r="A70" s="1"/>
      <x:c r="B70" s="1"/>
      <x:c r="C70" s="1"/>
      <x:c r="D70" s="1"/>
      <x:c r="E70" s="1"/>
      <x:c r="F70" s="1"/>
      <x:c r="G70" s="1"/>
      <x:c r="H70" s="1"/>
    </x:row>
  </x:sheetData>
  <x:pageMargins left="0.7" right="0.7" top="0.75" bottom="0.75" header="0.3" footer="0.3"/>
</x:worksheet>
</file>